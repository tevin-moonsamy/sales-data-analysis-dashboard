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slicers/slicer2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hidePivotFieldList="1" defaultThemeVersion="166925"/>
  <xr:revisionPtr revIDLastSave="0" documentId="8_{B47E4ABA-A489-4F96-AB6A-D0F79EE790EC}" xr6:coauthVersionLast="47" xr6:coauthVersionMax="47" xr10:uidLastSave="{00000000-0000-0000-0000-000000000000}"/>
  <bookViews>
    <workbookView xWindow="240" yWindow="105" windowWidth="14805" windowHeight="8010" firstSheet="3" activeTab="2" xr2:uid="{00000000-000D-0000-FFFF-FFFF00000000}"/>
  </bookViews>
  <sheets>
    <sheet name="Raw_data" sheetId="1" r:id="rId1"/>
    <sheet name="Clean_Data" sheetId="2" r:id="rId2"/>
    <sheet name="Pivot_tables" sheetId="4" r:id="rId3"/>
    <sheet name="Dashboard" sheetId="5" r:id="rId4"/>
  </sheets>
  <definedNames>
    <definedName name="Slicer_Category">#N/A</definedName>
    <definedName name="Slicer_Region">#N/A</definedName>
  </definedNames>
  <calcPr calcId="191028"/>
  <pivotCaches>
    <pivotCache cacheId="356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3" i="2" l="1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I4" i="2"/>
  <c r="H4" i="2"/>
  <c r="I3" i="2"/>
  <c r="H3" i="2"/>
  <c r="I2" i="2"/>
  <c r="H2" i="2"/>
</calcChain>
</file>

<file path=xl/sharedStrings.xml><?xml version="1.0" encoding="utf-8"?>
<sst xmlns="http://schemas.openxmlformats.org/spreadsheetml/2006/main" count="129" uniqueCount="40">
  <si>
    <t>OrderID</t>
  </si>
  <si>
    <t>Date</t>
  </si>
  <si>
    <t>Product</t>
  </si>
  <si>
    <t>Category</t>
  </si>
  <si>
    <t>Region</t>
  </si>
  <si>
    <t>Quantity</t>
  </si>
  <si>
    <t>UnitPrice</t>
  </si>
  <si>
    <t>Laptop</t>
  </si>
  <si>
    <t>Electronics</t>
  </si>
  <si>
    <t>North</t>
  </si>
  <si>
    <t>Phone</t>
  </si>
  <si>
    <t>South</t>
  </si>
  <si>
    <t>Headphones</t>
  </si>
  <si>
    <t>Accessories</t>
  </si>
  <si>
    <t>East</t>
  </si>
  <si>
    <t>West</t>
  </si>
  <si>
    <t>Mouse</t>
  </si>
  <si>
    <t>Keyboard</t>
  </si>
  <si>
    <t>Tablet</t>
  </si>
  <si>
    <t>Monitor</t>
  </si>
  <si>
    <t>TotalSales</t>
  </si>
  <si>
    <t>Month</t>
  </si>
  <si>
    <t>Top Products</t>
  </si>
  <si>
    <t>Revenue by Category</t>
  </si>
  <si>
    <t>Monthly Sales Trend</t>
  </si>
  <si>
    <t>Revenue by Region</t>
  </si>
  <si>
    <t>Sum of TotalSales</t>
  </si>
  <si>
    <t>05-Jan-2025</t>
  </si>
  <si>
    <t>06-Jan-2025</t>
  </si>
  <si>
    <t>Grand Total</t>
  </si>
  <si>
    <t>07-Jan-2025</t>
  </si>
  <si>
    <t>08-Jan-2025</t>
  </si>
  <si>
    <t>09-Jan-2025</t>
  </si>
  <si>
    <t>10-Jan-2025</t>
  </si>
  <si>
    <t>11-Jan-2025</t>
  </si>
  <si>
    <t>12-Jan-2025</t>
  </si>
  <si>
    <t>13-Jan-2025</t>
  </si>
  <si>
    <t>14-Jan-2025</t>
  </si>
  <si>
    <t>15-Jan-2025</t>
  </si>
  <si>
    <t>16-Jan-2025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</si>
</sst>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-1C09]#,##0.00"/>
    <numFmt numFmtId="165" formatCode="yyyy\-mm\-dd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1" fillId="0" borderId="0" xfId="0" applyFont="1" applyAlignment="1">
      <alignment horizontal="center"/>
    </xf>
  </cellXfs>
  <cellStyles count="1">
    <cellStyle name="Normal" xfId="0" builtinId="0"/>
  </cellStyles>
  <dxfs count="5">
    <dxf>
      <numFmt numFmtId="0" formatCode="General"/>
    </dxf>
    <dxf>
      <numFmt numFmtId="164" formatCode="[$R-1C09]#,##0.00"/>
    </dxf>
    <dxf>
      <numFmt numFmtId="164" formatCode="[$R-1C09]#,##0.00"/>
    </dxf>
    <dxf>
      <numFmt numFmtId="19" formatCode="m/d/yyyy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[Sales_Data_Analysis.xlsx]Pivot_tables!Monthly_Sales_Trend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Trend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Pivot_tables!$H$2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Pivot_tables!$G$3:$G$15</c:f>
              <c:strCache>
                <c:ptCount val="12"/>
                <c:pt idx="0">
                  <c:v>05-Jan-2025</c:v>
                </c:pt>
                <c:pt idx="1">
                  <c:v>06-Jan-2025</c:v>
                </c:pt>
                <c:pt idx="2">
                  <c:v>07-Jan-2025</c:v>
                </c:pt>
                <c:pt idx="3">
                  <c:v>08-Jan-2025</c:v>
                </c:pt>
                <c:pt idx="4">
                  <c:v>09-Jan-2025</c:v>
                </c:pt>
                <c:pt idx="5">
                  <c:v>10-Jan-2025</c:v>
                </c:pt>
                <c:pt idx="6">
                  <c:v>11-Jan-2025</c:v>
                </c:pt>
                <c:pt idx="7">
                  <c:v>12-Jan-2025</c:v>
                </c:pt>
                <c:pt idx="8">
                  <c:v>13-Jan-2025</c:v>
                </c:pt>
                <c:pt idx="9">
                  <c:v>14-Jan-2025</c:v>
                </c:pt>
                <c:pt idx="10">
                  <c:v>15-Jan-2025</c:v>
                </c:pt>
                <c:pt idx="11">
                  <c:v>16-Jan-2025</c:v>
                </c:pt>
              </c:strCache>
            </c:strRef>
          </c:cat>
          <c:val>
            <c:numRef>
              <c:f>Pivot_tables!$H$3:$H$15</c:f>
              <c:numCache>
                <c:formatCode>[$R-1C09]#,##0.00</c:formatCode>
                <c:ptCount val="12"/>
                <c:pt idx="0">
                  <c:v>24000</c:v>
                </c:pt>
                <c:pt idx="1">
                  <c:v>24000</c:v>
                </c:pt>
                <c:pt idx="2">
                  <c:v>7500</c:v>
                </c:pt>
                <c:pt idx="3">
                  <c:v>12000</c:v>
                </c:pt>
                <c:pt idx="4">
                  <c:v>2000</c:v>
                </c:pt>
                <c:pt idx="5">
                  <c:v>1400</c:v>
                </c:pt>
                <c:pt idx="6">
                  <c:v>16000</c:v>
                </c:pt>
                <c:pt idx="7">
                  <c:v>18000</c:v>
                </c:pt>
                <c:pt idx="8">
                  <c:v>4000</c:v>
                </c:pt>
                <c:pt idx="9">
                  <c:v>3000</c:v>
                </c:pt>
                <c:pt idx="10">
                  <c:v>2100</c:v>
                </c:pt>
                <c:pt idx="11">
                  <c:v>24000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27-402A-B4B0-7926F377160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75737863"/>
        <c:axId val="16820744"/>
      </c:lineChart>
      <c:catAx>
        <c:axId val="1975737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rgbClr val="000000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0744"/>
        <c:crosses val="autoZero"/>
        <c:auto val="1"/>
        <c:lblAlgn val="ctr"/>
        <c:lblOffset val="100"/>
        <c:noMultiLvlLbl val="0"/>
      </c:catAx>
      <c:valAx>
        <c:axId val="16820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-1C09]#,##0.00" sourceLinked="1"/>
        <c:majorTickMark val="none"/>
        <c:minorTickMark val="none"/>
        <c:tickLblPos val="nextTo"/>
        <c:spPr>
          <a:solidFill>
            <a:srgbClr val="000000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5737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000000"/>
    </a:solidFill>
    <a:ln w="9525" cap="flat" cmpd="sng" algn="ctr">
      <a:solidFill>
        <a:srgbClr val="FF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[Sales_Data_Analysis.xlsx]Pivot_tables!PivotTable2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B0F0"/>
          </a:solidFill>
          <a:ln>
            <a:solidFill>
              <a:srgbClr val="00B0F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F0"/>
          </a:solidFill>
          <a:ln>
            <a:solidFill>
              <a:srgbClr val="00B0F0"/>
            </a:solidFill>
            <a:prstDash val="solid"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rgbClr val="00B0F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Pivot_tables!$A$3:$A$10</c:f>
              <c:strCache>
                <c:ptCount val="7"/>
                <c:pt idx="0">
                  <c:v>Laptop</c:v>
                </c:pt>
                <c:pt idx="1">
                  <c:v>Phone</c:v>
                </c:pt>
                <c:pt idx="2">
                  <c:v>Tablet</c:v>
                </c:pt>
                <c:pt idx="3">
                  <c:v>Headphones</c:v>
                </c:pt>
                <c:pt idx="4">
                  <c:v>Mouse</c:v>
                </c:pt>
                <c:pt idx="5">
                  <c:v>Monitor</c:v>
                </c:pt>
                <c:pt idx="6">
                  <c:v>Keyboard</c:v>
                </c:pt>
              </c:strCache>
            </c:strRef>
          </c:cat>
          <c:val>
            <c:numRef>
              <c:f>Pivot_tables!$B$3:$B$10</c:f>
              <c:numCache>
                <c:formatCode>[$R-1C09]#,##0.00</c:formatCode>
                <c:ptCount val="7"/>
                <c:pt idx="0">
                  <c:v>60000</c:v>
                </c:pt>
                <c:pt idx="1">
                  <c:v>40000</c:v>
                </c:pt>
                <c:pt idx="2">
                  <c:v>18000</c:v>
                </c:pt>
                <c:pt idx="3">
                  <c:v>7500</c:v>
                </c:pt>
                <c:pt idx="4">
                  <c:v>5000</c:v>
                </c:pt>
                <c:pt idx="5">
                  <c:v>4000</c:v>
                </c:pt>
                <c:pt idx="6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0B-400D-8F2A-870DA0102D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780296"/>
        <c:axId val="16790536"/>
      </c:barChart>
      <c:catAx>
        <c:axId val="16780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0536"/>
        <c:crosses val="autoZero"/>
        <c:auto val="1"/>
        <c:lblAlgn val="ctr"/>
        <c:lblOffset val="100"/>
        <c:noMultiLvlLbl val="0"/>
      </c:catAx>
      <c:valAx>
        <c:axId val="16790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-1C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0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000000"/>
    </a:solidFill>
    <a:ln w="9525" cap="flat" cmpd="sng" algn="ctr">
      <a:solidFill>
        <a:srgbClr val="FF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[Sales_Data_Analysis.xlsx]Pivot_tables!Revenue by Category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rgbClr val="000000"/>
            </a:solidFill>
            <a:prstDash val="solid"/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rgbClr val="000000"/>
            </a:solidFill>
            <a:prstDash val="solid"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Pivot_tables!$E$2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19CF-4F82-9AFD-2B2422CEE97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19CF-4F82-9AFD-2B2422CEE97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Pivot_tables!$D$3:$D$5</c:f>
              <c:strCache>
                <c:ptCount val="2"/>
                <c:pt idx="0">
                  <c:v>Accessories</c:v>
                </c:pt>
                <c:pt idx="1">
                  <c:v>Electronics</c:v>
                </c:pt>
              </c:strCache>
            </c:strRef>
          </c:cat>
          <c:val>
            <c:numRef>
              <c:f>Pivot_tables!$E$3:$E$5</c:f>
              <c:numCache>
                <c:formatCode>[$R-1C09]#,##0.00</c:formatCode>
                <c:ptCount val="2"/>
                <c:pt idx="0">
                  <c:v>16000</c:v>
                </c:pt>
                <c:pt idx="1">
                  <c:v>122000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3B-44B9-B244-3CCE13D7D22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000000"/>
    </a:solidFill>
    <a:ln w="9525" cap="flat" cmpd="sng" algn="ctr">
      <a:solidFill>
        <a:srgbClr val="00B0F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552450</xdr:colOff>
      <xdr:row>16</xdr:row>
      <xdr:rowOff>19050</xdr:rowOff>
    </xdr:from>
    <xdr:to>
      <xdr:col>8</xdr:col>
      <xdr:colOff>504825</xdr:colOff>
      <xdr:row>20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Category">
              <a:extLst>
                <a:ext uri="{FF2B5EF4-FFF2-40B4-BE49-F238E27FC236}">
                  <a16:creationId xmlns:a16="http://schemas.microsoft.com/office/drawing/2014/main" id="{501E11D1-181F-1382-7CDD-70A42161A4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15075" y="3067050"/>
              <a:ext cx="1828800" cy="876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3</xdr:col>
      <xdr:colOff>733425</xdr:colOff>
      <xdr:row>16</xdr:row>
      <xdr:rowOff>19050</xdr:rowOff>
    </xdr:from>
    <xdr:to>
      <xdr:col>6</xdr:col>
      <xdr:colOff>314325</xdr:colOff>
      <xdr:row>20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Region">
              <a:extLst>
                <a:ext uri="{FF2B5EF4-FFF2-40B4-BE49-F238E27FC236}">
                  <a16:creationId xmlns:a16="http://schemas.microsoft.com/office/drawing/2014/main" id="{42F01F64-A2DC-D028-DE21-833F75AC2A6F}"/>
                </a:ext>
                <a:ext uri="{147F2762-F138-4A5C-976F-8EAC2B608ADB}">
                  <a16:predDERef xmlns:a16="http://schemas.microsoft.com/office/drawing/2014/main" pred="{501E11D1-181F-1382-7CDD-70A42161A4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09975" y="3067050"/>
              <a:ext cx="2466975" cy="885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 fLocksWithSheet="0"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133350</xdr:colOff>
      <xdr:row>5</xdr:row>
      <xdr:rowOff>171450</xdr:rowOff>
    </xdr:from>
    <xdr:to>
      <xdr:col>23</xdr:col>
      <xdr:colOff>180975</xdr:colOff>
      <xdr:row>20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037998-9178-1CC6-1398-D01E45C898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</xdr:row>
      <xdr:rowOff>180975</xdr:rowOff>
    </xdr:from>
    <xdr:to>
      <xdr:col>10</xdr:col>
      <xdr:colOff>590550</xdr:colOff>
      <xdr:row>20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786AF20-A59B-6361-9864-9CA2D39ADE78}"/>
            </a:ext>
            <a:ext uri="{147F2762-F138-4A5C-976F-8EAC2B608ADB}">
              <a16:predDERef xmlns:a16="http://schemas.microsoft.com/office/drawing/2014/main" pred="{AA037998-9178-1CC6-1398-D01E45C898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21</xdr:row>
      <xdr:rowOff>47625</xdr:rowOff>
    </xdr:from>
    <xdr:to>
      <xdr:col>10</xdr:col>
      <xdr:colOff>600075</xdr:colOff>
      <xdr:row>35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40E77D4-422C-B0BA-506F-154426C6AA6B}"/>
            </a:ext>
            <a:ext uri="{147F2762-F138-4A5C-976F-8EAC2B608ADB}">
              <a16:predDERef xmlns:a16="http://schemas.microsoft.com/office/drawing/2014/main" pred="{E786AF20-A59B-6361-9864-9CA2D39ADE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390525</xdr:colOff>
      <xdr:row>0</xdr:row>
      <xdr:rowOff>142875</xdr:rowOff>
    </xdr:from>
    <xdr:to>
      <xdr:col>18</xdr:col>
      <xdr:colOff>209550</xdr:colOff>
      <xdr:row>4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Category 1">
              <a:extLst>
                <a:ext uri="{FF2B5EF4-FFF2-40B4-BE49-F238E27FC236}">
                  <a16:creationId xmlns:a16="http://schemas.microsoft.com/office/drawing/2014/main" id="{4CE12FE1-0160-00B7-96D9-64E0960E892D}"/>
                </a:ext>
                <a:ext uri="{147F2762-F138-4A5C-976F-8EAC2B608ADB}">
                  <a16:predDERef xmlns:a16="http://schemas.microsoft.com/office/drawing/2014/main" pred="{540E77D4-422C-B0BA-506F-154426C6AA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76850" y="209550"/>
              <a:ext cx="2257425" cy="676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3</xdr:col>
      <xdr:colOff>219075</xdr:colOff>
      <xdr:row>0</xdr:row>
      <xdr:rowOff>180975</xdr:rowOff>
    </xdr:from>
    <xdr:to>
      <xdr:col>7</xdr:col>
      <xdr:colOff>523875</xdr:colOff>
      <xdr:row>4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Region 1">
              <a:extLst>
                <a:ext uri="{FF2B5EF4-FFF2-40B4-BE49-F238E27FC236}">
                  <a16:creationId xmlns:a16="http://schemas.microsoft.com/office/drawing/2014/main" id="{DCEFD7B2-D57E-C059-A100-CEA751F5BD77}"/>
                </a:ext>
                <a:ext uri="{147F2762-F138-4A5C-976F-8EAC2B608ADB}">
                  <a16:predDERef xmlns:a16="http://schemas.microsoft.com/office/drawing/2014/main" pred="{4CE12FE1-0160-00B7-96D9-64E0960E892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47875" y="180975"/>
              <a:ext cx="2743200" cy="723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0.533905555552" createdVersion="8" refreshedVersion="8" minRefreshableVersion="3" recordCount="12" xr:uid="{8D2CC8C9-72C5-41CE-A793-9046996D19A2}">
  <cacheSource type="worksheet">
    <worksheetSource name="Table24"/>
  </cacheSource>
  <cacheFields count="9">
    <cacheField name="OrderID" numFmtId="0">
      <sharedItems containsSemiMixedTypes="0" containsString="0" containsNumber="1" containsInteger="1" minValue="1001" maxValue="1012"/>
    </cacheField>
    <cacheField name="Date" numFmtId="165">
      <sharedItems containsSemiMixedTypes="0" containsNonDate="0" containsDate="1" containsString="0" minDate="2025-01-05T00:00:00" maxDate="2025-01-17T00:00:00" count="12"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</sharedItems>
    </cacheField>
    <cacheField name="Product" numFmtId="0">
      <sharedItems count="7">
        <s v="Laptop"/>
        <s v="Phone"/>
        <s v="Headphones"/>
        <s v="Mouse"/>
        <s v="Keyboard"/>
        <s v="Tablet"/>
        <s v="Monitor"/>
      </sharedItems>
    </cacheField>
    <cacheField name="Category" numFmtId="0">
      <sharedItems count="2">
        <s v="Electronics"/>
        <s v="Accessories"/>
      </sharedItems>
    </cacheField>
    <cacheField name="Region" numFmtId="0">
      <sharedItems count="4">
        <s v="North"/>
        <s v="South"/>
        <s v="East"/>
        <s v="West"/>
      </sharedItems>
    </cacheField>
    <cacheField name="Quantity" numFmtId="0">
      <sharedItems containsSemiMixedTypes="0" containsString="0" containsNumber="1" containsInteger="1" minValue="1" maxValue="6"/>
    </cacheField>
    <cacheField name="UnitPrice" numFmtId="164">
      <sharedItems containsSemiMixedTypes="0" containsString="0" containsNumber="1" containsInteger="1" minValue="500" maxValue="12000"/>
    </cacheField>
    <cacheField name="TotalSales" numFmtId="164">
      <sharedItems containsSemiMixedTypes="0" containsString="0" containsNumber="1" containsInteger="1" minValue="1400" maxValue="24000"/>
    </cacheField>
    <cacheField name="Month" numFmtId="0">
      <sharedItems count="12">
        <s v="05-Jan-2025"/>
        <s v="06-Jan-2025"/>
        <s v="07-Jan-2025"/>
        <s v="08-Jan-2025"/>
        <s v="09-Jan-2025"/>
        <s v="10-Jan-2025"/>
        <s v="11-Jan-2025"/>
        <s v="12-Jan-2025"/>
        <s v="13-Jan-2025"/>
        <s v="14-Jan-2025"/>
        <s v="15-Jan-2025"/>
        <s v="16-Jan-2025"/>
      </sharedItems>
    </cacheField>
  </cacheFields>
  <extLst>
    <ext xmlns:x14="http://schemas.microsoft.com/office/spreadsheetml/2009/9/main" uri="{725AE2AE-9491-48be-B2B4-4EB974FC3084}">
      <x14:pivotCacheDefinition pivotCacheId="14205722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001"/>
    <x v="0"/>
    <x v="0"/>
    <x v="0"/>
    <x v="0"/>
    <n v="2"/>
    <n v="12000"/>
    <n v="24000"/>
    <x v="0"/>
  </r>
  <r>
    <n v="1002"/>
    <x v="1"/>
    <x v="1"/>
    <x v="0"/>
    <x v="1"/>
    <n v="3"/>
    <n v="8000"/>
    <n v="24000"/>
    <x v="1"/>
  </r>
  <r>
    <n v="1003"/>
    <x v="2"/>
    <x v="2"/>
    <x v="1"/>
    <x v="2"/>
    <n v="5"/>
    <n v="1500"/>
    <n v="7500"/>
    <x v="2"/>
  </r>
  <r>
    <n v="1004"/>
    <x v="3"/>
    <x v="0"/>
    <x v="0"/>
    <x v="3"/>
    <n v="1"/>
    <n v="12000"/>
    <n v="12000"/>
    <x v="3"/>
  </r>
  <r>
    <n v="1005"/>
    <x v="4"/>
    <x v="3"/>
    <x v="1"/>
    <x v="0"/>
    <n v="4"/>
    <n v="500"/>
    <n v="2000"/>
    <x v="4"/>
  </r>
  <r>
    <n v="1006"/>
    <x v="5"/>
    <x v="4"/>
    <x v="1"/>
    <x v="1"/>
    <n v="2"/>
    <n v="700"/>
    <n v="1400"/>
    <x v="5"/>
  </r>
  <r>
    <n v="1007"/>
    <x v="6"/>
    <x v="1"/>
    <x v="0"/>
    <x v="2"/>
    <n v="2"/>
    <n v="8000"/>
    <n v="16000"/>
    <x v="6"/>
  </r>
  <r>
    <n v="1008"/>
    <x v="7"/>
    <x v="5"/>
    <x v="0"/>
    <x v="3"/>
    <n v="3"/>
    <n v="6000"/>
    <n v="18000"/>
    <x v="7"/>
  </r>
  <r>
    <n v="1009"/>
    <x v="8"/>
    <x v="6"/>
    <x v="0"/>
    <x v="0"/>
    <n v="1"/>
    <n v="4000"/>
    <n v="4000"/>
    <x v="8"/>
  </r>
  <r>
    <n v="1010"/>
    <x v="9"/>
    <x v="3"/>
    <x v="1"/>
    <x v="1"/>
    <n v="6"/>
    <n v="500"/>
    <n v="3000"/>
    <x v="9"/>
  </r>
  <r>
    <n v="1011"/>
    <x v="10"/>
    <x v="4"/>
    <x v="1"/>
    <x v="2"/>
    <n v="3"/>
    <n v="700"/>
    <n v="2100"/>
    <x v="10"/>
  </r>
  <r>
    <n v="1012"/>
    <x v="11"/>
    <x v="0"/>
    <x v="0"/>
    <x v="3"/>
    <n v="2"/>
    <n v="12000"/>
    <n v="24000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A35B1C-12C3-4D8D-8620-DC1351456790}" name="Revenue by Category" cacheId="3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D2:E5" firstHeaderRow="1" firstDataRow="1" firstDataCol="1"/>
  <pivotFields count="9">
    <pivotField compact="0" outline="0" showAll="0"/>
    <pivotField compact="0" numFmtId="165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numFmtId="164" outline="0" showAll="0"/>
    <pivotField dataField="1" compact="0" numFmtId="164" outline="0" showAll="0"/>
    <pivotField compact="0" outline="0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TotalSales" fld="7" baseField="0" baseItem="0" numFmtId="16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84BD2B-DE6F-4D74-AF18-4B54DB9CD4D3}" name="PivotTable2" cacheId="3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 fieldListSortAscending="1">
  <location ref="A2:B10" firstHeaderRow="1" firstDataRow="1" firstDataCol="1"/>
  <pivotFields count="9">
    <pivotField compact="0" outline="0" showAll="0"/>
    <pivotField compact="0" numFmtId="165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compact="0" outline="0" showAll="0" sortType="descending">
      <items count="8">
        <item x="2"/>
        <item x="4"/>
        <item x="0"/>
        <item x="6"/>
        <item x="3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3">
        <item x="1"/>
        <item x="0"/>
        <item t="default"/>
      </items>
    </pivotField>
    <pivotField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numFmtId="164" outline="0" showAll="0"/>
    <pivotField dataField="1" compact="0" numFmtId="164" outline="0" showAll="0"/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2"/>
  </rowFields>
  <rowItems count="8">
    <i>
      <x v="2"/>
    </i>
    <i>
      <x v="5"/>
    </i>
    <i>
      <x v="6"/>
    </i>
    <i>
      <x/>
    </i>
    <i>
      <x v="4"/>
    </i>
    <i>
      <x v="3"/>
    </i>
    <i>
      <x v="1"/>
    </i>
    <i t="grand">
      <x/>
    </i>
  </rowItems>
  <colItems count="1">
    <i/>
  </colItems>
  <dataFields count="1">
    <dataField name="Sum of TotalSales" fld="7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0C4A40-410D-47E1-A8FE-E1CDFC6A8EDA}" name="PivotTable5" cacheId="3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J2:K7" firstHeaderRow="1" firstDataRow="1" firstDataCol="1"/>
  <pivotFields count="9">
    <pivotField compact="0" outline="0" showAll="0"/>
    <pivotField compact="0" numFmtId="165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axis="axisRow" compact="0" outline="0" showAll="0" sortType="descending">
      <items count="5">
        <item x="2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64" outline="0" showAll="0"/>
    <pivotField dataField="1" compact="0" numFmtId="164" outline="0" showAll="0"/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4"/>
  </rowFields>
  <rowItems count="5">
    <i>
      <x v="3"/>
    </i>
    <i>
      <x v="1"/>
    </i>
    <i>
      <x v="2"/>
    </i>
    <i>
      <x/>
    </i>
    <i t="grand">
      <x/>
    </i>
  </rowItems>
  <colItems count="1">
    <i/>
  </colItems>
  <dataFields count="1">
    <dataField name="Sum of TotalSales" fld="7" baseField="0" baseItem="0" numFmtId="164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68C71D-B978-40C7-8665-DEBCACDAB1FD}" name="Monthly_Sales_Trend" cacheId="3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G2:H15" firstHeaderRow="1" firstDataRow="1" firstDataCol="1"/>
  <pivotFields count="9">
    <pivotField compact="0" outline="0" showAll="0"/>
    <pivotField compact="0" numFmtId="165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numFmtId="164" outline="0" showAll="0"/>
    <pivotField dataField="1" compact="0" numFmtId="164" outline="0" showAll="0"/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Sales" fld="7" baseField="0" baseItem="0" numFmtId="164"/>
  </dataFields>
  <chartFormats count="5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BFA4D0BB-6713-48DE-AB78-E2E39CB2C410}" sourceName="Category">
  <pivotTables>
    <pivotTable tabId="4" name="PivotTable2"/>
  </pivotTables>
  <data>
    <tabular pivotCacheId="142057220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3CAC99F0-E130-4435-9083-893983AB90A2}" sourceName="Region">
  <pivotTables>
    <pivotTable tabId="4" name="PivotTable2"/>
    <pivotTable tabId="4" name="Revenue by Category"/>
    <pivotTable tabId="4" name="Monthly_Sales_Trend"/>
    <pivotTable tabId="4" name="PivotTable5"/>
  </pivotTables>
  <data>
    <tabular pivotCacheId="142057220">
      <items count="4">
        <i x="2" s="1"/>
        <i x="0" s="1"/>
        <i x="1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" xr10:uid="{0EC07BF3-5D70-4D8B-8E31-56DC736B2357}" cache="Slicer_Category" caption="Category" columnCount="2" style="SlicerStyleDark5" rowHeight="228600"/>
  <slicer name="Region" xr10:uid="{2BB93660-69EB-467E-9995-27B5B2965934}" cache="Slicer_Region" caption="Region" columnCount="4" style="SlicerStyleDark5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 1" xr10:uid="{AF0DE688-0314-46B1-B3E1-11007CFDA774}" cache="Slicer_Category" caption="Category" columnCount="2" rowHeight="228600"/>
  <slicer name="Region 1" xr10:uid="{99DEB455-65FF-4C0C-A878-6023D97D4D18}" cache="Slicer_Region" caption="Region" columnCount="4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0DEA4BE-A453-4ABE-908C-AD66605BCEB1}" name="Table24" displayName="Table24" ref="A1:I13" totalsRowShown="0">
  <autoFilter ref="A1:I13" xr:uid="{60DEA4BE-A453-4ABE-908C-AD66605BCEB1}"/>
  <tableColumns count="9">
    <tableColumn id="1" xr3:uid="{8278BA16-DC4C-4AE9-B85B-ABB04101295C}" name="OrderID" dataDxfId="4"/>
    <tableColumn id="2" xr3:uid="{51F5F5A6-532F-4BB5-A60F-217EC1596C40}" name="Date" dataDxfId="3"/>
    <tableColumn id="3" xr3:uid="{F7742DCB-DC27-4839-8BFC-55832BD56205}" name="Product"/>
    <tableColumn id="4" xr3:uid="{BFC2DA15-7F5B-4382-BEAE-126420426006}" name="Category"/>
    <tableColumn id="5" xr3:uid="{D40EEC48-1AD5-4A54-A2C0-E32A444ED567}" name="Region"/>
    <tableColumn id="6" xr3:uid="{FDA4FF25-8C86-45C8-A274-457C73801597}" name="Quantity"/>
    <tableColumn id="7" xr3:uid="{82584078-1005-4042-9DE7-D4E79B5CA563}" name="UnitPrice" dataDxfId="2"/>
    <tableColumn id="8" xr3:uid="{C0CE6CFC-F6B0-4B09-AE39-69F5BD83B329}" name="TotalSales" dataDxfId="1">
      <calculatedColumnFormula>Table24[[#This Row],[Quantity]]*Table24[[#This Row],[UnitPrice]]</calculatedColumnFormula>
    </tableColumn>
    <tableColumn id="9" xr3:uid="{19C71D72-E673-46CF-93E4-7F9A5BF2D4A4}" name="Month" dataDxfId="0">
      <calculatedColumnFormula>TEXT(Table24[[#This Row],[Date]],"DD-MMM-YYYY")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>
      <selection activeCell="J5" sqref="J5"/>
    </sheetView>
  </sheetViews>
  <sheetFormatPr defaultRowHeight="15"/>
  <cols>
    <col min="1" max="1" width="36.5703125" bestFit="1" customWidth="1"/>
    <col min="2" max="2" width="10.85546875" bestFit="1" customWidth="1"/>
    <col min="3" max="3" width="11.85546875" bestFit="1" customWidth="1"/>
    <col min="4" max="4" width="11.140625" bestFit="1" customWidth="1"/>
    <col min="5" max="5" width="9.28515625" bestFit="1" customWidth="1"/>
    <col min="6" max="6" width="11" bestFit="1" customWidth="1"/>
    <col min="7" max="7" width="11.42578125" style="2" bestFit="1" customWidth="1"/>
    <col min="8" max="8" width="12.140625" bestFit="1" customWidth="1"/>
    <col min="9" max="9" width="11.5703125" bestFit="1" customWidth="1"/>
  </cols>
  <sheetData>
    <row r="1" spans="1:8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</row>
    <row r="2" spans="1:8">
      <c r="A2" s="1">
        <v>1001</v>
      </c>
      <c r="B2" s="3">
        <v>45662</v>
      </c>
      <c r="C2" t="s">
        <v>7</v>
      </c>
      <c r="D2" t="s">
        <v>8</v>
      </c>
      <c r="E2" t="s">
        <v>9</v>
      </c>
      <c r="F2">
        <v>2</v>
      </c>
      <c r="G2" s="2">
        <v>12000</v>
      </c>
      <c r="H2" s="2"/>
    </row>
    <row r="3" spans="1:8">
      <c r="A3" s="1">
        <v>1002</v>
      </c>
      <c r="B3" s="3">
        <v>45664</v>
      </c>
      <c r="C3" t="s">
        <v>10</v>
      </c>
      <c r="D3" t="s">
        <v>8</v>
      </c>
      <c r="E3" t="s">
        <v>11</v>
      </c>
      <c r="F3">
        <v>3</v>
      </c>
      <c r="G3" s="2">
        <v>8000</v>
      </c>
      <c r="H3" s="2"/>
    </row>
    <row r="4" spans="1:8">
      <c r="A4" s="1">
        <v>1003</v>
      </c>
      <c r="B4" s="3">
        <v>45667</v>
      </c>
      <c r="C4" t="s">
        <v>12</v>
      </c>
      <c r="D4" t="s">
        <v>13</v>
      </c>
      <c r="E4" t="s">
        <v>14</v>
      </c>
      <c r="F4">
        <v>5</v>
      </c>
      <c r="G4" s="2">
        <v>1500</v>
      </c>
      <c r="H4" s="2"/>
    </row>
    <row r="5" spans="1:8">
      <c r="A5" s="1">
        <v>1004</v>
      </c>
      <c r="B5" s="3">
        <v>45690</v>
      </c>
      <c r="C5" t="s">
        <v>7</v>
      </c>
      <c r="D5" t="s">
        <v>8</v>
      </c>
      <c r="E5" t="s">
        <v>15</v>
      </c>
      <c r="F5">
        <v>1</v>
      </c>
      <c r="G5" s="2">
        <v>12000</v>
      </c>
      <c r="H5" s="2"/>
    </row>
    <row r="6" spans="1:8">
      <c r="A6" s="1">
        <v>1005</v>
      </c>
      <c r="B6" s="3">
        <v>45698</v>
      </c>
      <c r="C6" t="s">
        <v>16</v>
      </c>
      <c r="D6" t="s">
        <v>13</v>
      </c>
      <c r="E6" t="s">
        <v>9</v>
      </c>
      <c r="F6">
        <v>4</v>
      </c>
      <c r="G6" s="2">
        <v>500</v>
      </c>
      <c r="H6" s="2"/>
    </row>
    <row r="7" spans="1:8">
      <c r="A7" s="1">
        <v>1006</v>
      </c>
      <c r="B7" s="3">
        <v>45703</v>
      </c>
      <c r="C7" t="s">
        <v>17</v>
      </c>
      <c r="D7" t="s">
        <v>13</v>
      </c>
      <c r="E7" t="s">
        <v>11</v>
      </c>
      <c r="F7">
        <v>2</v>
      </c>
      <c r="G7" s="2">
        <v>700</v>
      </c>
      <c r="H7" s="2"/>
    </row>
    <row r="8" spans="1:8">
      <c r="A8" s="1">
        <v>1007</v>
      </c>
      <c r="B8" s="3">
        <v>45717</v>
      </c>
      <c r="C8" t="s">
        <v>10</v>
      </c>
      <c r="D8" t="s">
        <v>8</v>
      </c>
      <c r="E8" t="s">
        <v>14</v>
      </c>
      <c r="F8">
        <v>2</v>
      </c>
      <c r="G8" s="2">
        <v>8000</v>
      </c>
      <c r="H8" s="2"/>
    </row>
    <row r="9" spans="1:8">
      <c r="A9" s="1">
        <v>1008</v>
      </c>
      <c r="B9" s="3">
        <v>45728</v>
      </c>
      <c r="C9" t="s">
        <v>18</v>
      </c>
      <c r="D9" t="s">
        <v>8</v>
      </c>
      <c r="E9" t="s">
        <v>15</v>
      </c>
      <c r="F9">
        <v>3</v>
      </c>
      <c r="G9" s="2">
        <v>6000</v>
      </c>
      <c r="H9" s="2"/>
    </row>
    <row r="10" spans="1:8">
      <c r="A10" s="1">
        <v>1009</v>
      </c>
      <c r="B10" s="3">
        <v>45736</v>
      </c>
      <c r="C10" t="s">
        <v>19</v>
      </c>
      <c r="D10" t="s">
        <v>8</v>
      </c>
      <c r="E10" t="s">
        <v>9</v>
      </c>
      <c r="F10">
        <v>1</v>
      </c>
      <c r="G10" s="2">
        <v>4000</v>
      </c>
      <c r="H10" s="2"/>
    </row>
    <row r="11" spans="1:8">
      <c r="A11" s="1">
        <v>1010</v>
      </c>
      <c r="B11" s="3">
        <v>45752</v>
      </c>
      <c r="C11" t="s">
        <v>16</v>
      </c>
      <c r="D11" t="s">
        <v>13</v>
      </c>
      <c r="E11" t="s">
        <v>11</v>
      </c>
      <c r="F11">
        <v>6</v>
      </c>
      <c r="G11" s="2">
        <v>500</v>
      </c>
      <c r="H11" s="2"/>
    </row>
    <row r="12" spans="1:8">
      <c r="A12" s="1">
        <v>1011</v>
      </c>
      <c r="B12" s="3">
        <v>45765</v>
      </c>
      <c r="C12" t="s">
        <v>17</v>
      </c>
      <c r="D12" t="s">
        <v>13</v>
      </c>
      <c r="E12" t="s">
        <v>14</v>
      </c>
      <c r="F12">
        <v>3</v>
      </c>
      <c r="G12" s="2">
        <v>700</v>
      </c>
      <c r="H12" s="2"/>
    </row>
    <row r="13" spans="1:8">
      <c r="A13" s="1">
        <v>1012</v>
      </c>
      <c r="B13" s="3">
        <v>45772</v>
      </c>
      <c r="C13" t="s">
        <v>7</v>
      </c>
      <c r="D13" t="s">
        <v>8</v>
      </c>
      <c r="E13" t="s">
        <v>15</v>
      </c>
      <c r="F13">
        <v>2</v>
      </c>
      <c r="G13" s="2">
        <v>12000</v>
      </c>
      <c r="H1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A60ED-DB75-4A03-9188-FAF855406992}">
  <dimension ref="A1:I13"/>
  <sheetViews>
    <sheetView workbookViewId="0">
      <selection activeCell="I13" sqref="I13"/>
    </sheetView>
  </sheetViews>
  <sheetFormatPr defaultRowHeight="15"/>
  <cols>
    <col min="2" max="2" width="10.85546875" bestFit="1" customWidth="1"/>
    <col min="3" max="3" width="11.85546875" bestFit="1" customWidth="1"/>
    <col min="7" max="7" width="11.42578125" bestFit="1" customWidth="1"/>
    <col min="8" max="8" width="12.140625" bestFit="1" customWidth="1"/>
    <col min="9" max="9" width="11.5703125" bestFit="1" customWidth="1"/>
  </cols>
  <sheetData>
    <row r="1" spans="1:9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20</v>
      </c>
      <c r="I1" t="s">
        <v>21</v>
      </c>
    </row>
    <row r="2" spans="1:9">
      <c r="A2" s="1">
        <v>1001</v>
      </c>
      <c r="B2" s="3">
        <v>45662</v>
      </c>
      <c r="C2" t="s">
        <v>7</v>
      </c>
      <c r="D2" t="s">
        <v>8</v>
      </c>
      <c r="E2" t="s">
        <v>9</v>
      </c>
      <c r="F2">
        <v>2</v>
      </c>
      <c r="G2" s="2">
        <v>12000</v>
      </c>
      <c r="H2" s="2">
        <f>Table24[[#This Row],[Quantity]]*Table24[[#This Row],[UnitPrice]]</f>
        <v>24000</v>
      </c>
      <c r="I2" t="str">
        <f>TEXT(Table24[[#This Row],[Date]],"DD-MMM-YYYY")</f>
        <v>05-Jan-2025</v>
      </c>
    </row>
    <row r="3" spans="1:9">
      <c r="A3" s="1">
        <v>1002</v>
      </c>
      <c r="B3" s="3">
        <v>45663</v>
      </c>
      <c r="C3" t="s">
        <v>10</v>
      </c>
      <c r="D3" t="s">
        <v>8</v>
      </c>
      <c r="E3" t="s">
        <v>11</v>
      </c>
      <c r="F3">
        <v>3</v>
      </c>
      <c r="G3" s="2">
        <v>8000</v>
      </c>
      <c r="H3" s="2">
        <f>Table24[[#This Row],[Quantity]]*Table24[[#This Row],[UnitPrice]]</f>
        <v>24000</v>
      </c>
      <c r="I3" t="str">
        <f>TEXT(Table24[[#This Row],[Date]],"DD-MMM-YYYY")</f>
        <v>06-Jan-2025</v>
      </c>
    </row>
    <row r="4" spans="1:9">
      <c r="A4" s="1">
        <v>1003</v>
      </c>
      <c r="B4" s="3">
        <v>45664</v>
      </c>
      <c r="C4" t="s">
        <v>12</v>
      </c>
      <c r="D4" t="s">
        <v>13</v>
      </c>
      <c r="E4" t="s">
        <v>14</v>
      </c>
      <c r="F4">
        <v>5</v>
      </c>
      <c r="G4" s="2">
        <v>1500</v>
      </c>
      <c r="H4" s="2">
        <f>Table24[[#This Row],[Quantity]]*Table24[[#This Row],[UnitPrice]]</f>
        <v>7500</v>
      </c>
      <c r="I4" t="str">
        <f>TEXT(Table24[[#This Row],[Date]],"DD-MMM-YYYY")</f>
        <v>07-Jan-2025</v>
      </c>
    </row>
    <row r="5" spans="1:9">
      <c r="A5" s="1">
        <v>1004</v>
      </c>
      <c r="B5" s="3">
        <v>45665</v>
      </c>
      <c r="C5" t="s">
        <v>7</v>
      </c>
      <c r="D5" t="s">
        <v>8</v>
      </c>
      <c r="E5" t="s">
        <v>15</v>
      </c>
      <c r="F5">
        <v>1</v>
      </c>
      <c r="G5" s="2">
        <v>12000</v>
      </c>
      <c r="H5" s="2">
        <f>Table24[[#This Row],[Quantity]]*Table24[[#This Row],[UnitPrice]]</f>
        <v>12000</v>
      </c>
      <c r="I5" t="str">
        <f>TEXT(Table24[[#This Row],[Date]],"DD-MMM-YYYY")</f>
        <v>08-Jan-2025</v>
      </c>
    </row>
    <row r="6" spans="1:9">
      <c r="A6" s="1">
        <v>1005</v>
      </c>
      <c r="B6" s="3">
        <v>45666</v>
      </c>
      <c r="C6" t="s">
        <v>16</v>
      </c>
      <c r="D6" t="s">
        <v>13</v>
      </c>
      <c r="E6" t="s">
        <v>9</v>
      </c>
      <c r="F6">
        <v>4</v>
      </c>
      <c r="G6" s="2">
        <v>500</v>
      </c>
      <c r="H6" s="2">
        <f>Table24[[#This Row],[Quantity]]*Table24[[#This Row],[UnitPrice]]</f>
        <v>2000</v>
      </c>
      <c r="I6" t="str">
        <f>TEXT(Table24[[#This Row],[Date]],"DD-MMM-YYYY")</f>
        <v>09-Jan-2025</v>
      </c>
    </row>
    <row r="7" spans="1:9">
      <c r="A7" s="1">
        <v>1006</v>
      </c>
      <c r="B7" s="3">
        <v>45667</v>
      </c>
      <c r="C7" t="s">
        <v>17</v>
      </c>
      <c r="D7" t="s">
        <v>13</v>
      </c>
      <c r="E7" t="s">
        <v>11</v>
      </c>
      <c r="F7">
        <v>2</v>
      </c>
      <c r="G7" s="2">
        <v>700</v>
      </c>
      <c r="H7" s="2">
        <f>Table24[[#This Row],[Quantity]]*Table24[[#This Row],[UnitPrice]]</f>
        <v>1400</v>
      </c>
      <c r="I7" t="str">
        <f>TEXT(Table24[[#This Row],[Date]],"DD-MMM-YYYY")</f>
        <v>10-Jan-2025</v>
      </c>
    </row>
    <row r="8" spans="1:9">
      <c r="A8" s="1">
        <v>1007</v>
      </c>
      <c r="B8" s="3">
        <v>45668</v>
      </c>
      <c r="C8" t="s">
        <v>10</v>
      </c>
      <c r="D8" t="s">
        <v>8</v>
      </c>
      <c r="E8" t="s">
        <v>14</v>
      </c>
      <c r="F8">
        <v>2</v>
      </c>
      <c r="G8" s="2">
        <v>8000</v>
      </c>
      <c r="H8" s="2">
        <f>Table24[[#This Row],[Quantity]]*Table24[[#This Row],[UnitPrice]]</f>
        <v>16000</v>
      </c>
      <c r="I8" t="str">
        <f>TEXT(Table24[[#This Row],[Date]],"DD-MMM-YYYY")</f>
        <v>11-Jan-2025</v>
      </c>
    </row>
    <row r="9" spans="1:9">
      <c r="A9" s="1">
        <v>1008</v>
      </c>
      <c r="B9" s="3">
        <v>45669</v>
      </c>
      <c r="C9" t="s">
        <v>18</v>
      </c>
      <c r="D9" t="s">
        <v>8</v>
      </c>
      <c r="E9" t="s">
        <v>15</v>
      </c>
      <c r="F9">
        <v>3</v>
      </c>
      <c r="G9" s="2">
        <v>6000</v>
      </c>
      <c r="H9" s="2">
        <f>Table24[[#This Row],[Quantity]]*Table24[[#This Row],[UnitPrice]]</f>
        <v>18000</v>
      </c>
      <c r="I9" t="str">
        <f>TEXT(Table24[[#This Row],[Date]],"DD-MMM-YYYY")</f>
        <v>12-Jan-2025</v>
      </c>
    </row>
    <row r="10" spans="1:9">
      <c r="A10" s="1">
        <v>1009</v>
      </c>
      <c r="B10" s="3">
        <v>45670</v>
      </c>
      <c r="C10" t="s">
        <v>19</v>
      </c>
      <c r="D10" t="s">
        <v>8</v>
      </c>
      <c r="E10" t="s">
        <v>9</v>
      </c>
      <c r="F10">
        <v>1</v>
      </c>
      <c r="G10" s="2">
        <v>4000</v>
      </c>
      <c r="H10" s="2">
        <f>Table24[[#This Row],[Quantity]]*Table24[[#This Row],[UnitPrice]]</f>
        <v>4000</v>
      </c>
      <c r="I10" t="str">
        <f>TEXT(Table24[[#This Row],[Date]],"DD-MMM-YYYY")</f>
        <v>13-Jan-2025</v>
      </c>
    </row>
    <row r="11" spans="1:9">
      <c r="A11" s="1">
        <v>1010</v>
      </c>
      <c r="B11" s="3">
        <v>45671</v>
      </c>
      <c r="C11" t="s">
        <v>16</v>
      </c>
      <c r="D11" t="s">
        <v>13</v>
      </c>
      <c r="E11" t="s">
        <v>11</v>
      </c>
      <c r="F11">
        <v>6</v>
      </c>
      <c r="G11" s="2">
        <v>500</v>
      </c>
      <c r="H11" s="2">
        <f>Table24[[#This Row],[Quantity]]*Table24[[#This Row],[UnitPrice]]</f>
        <v>3000</v>
      </c>
      <c r="I11" t="str">
        <f>TEXT(Table24[[#This Row],[Date]],"DD-MMM-YYYY")</f>
        <v>14-Jan-2025</v>
      </c>
    </row>
    <row r="12" spans="1:9">
      <c r="A12" s="1">
        <v>1011</v>
      </c>
      <c r="B12" s="3">
        <v>45672</v>
      </c>
      <c r="C12" t="s">
        <v>17</v>
      </c>
      <c r="D12" t="s">
        <v>13</v>
      </c>
      <c r="E12" t="s">
        <v>14</v>
      </c>
      <c r="F12">
        <v>3</v>
      </c>
      <c r="G12" s="2">
        <v>700</v>
      </c>
      <c r="H12" s="2">
        <f>Table24[[#This Row],[Quantity]]*Table24[[#This Row],[UnitPrice]]</f>
        <v>2100</v>
      </c>
      <c r="I12" t="str">
        <f>TEXT(Table24[[#This Row],[Date]],"DD-MMM-YYYY")</f>
        <v>15-Jan-2025</v>
      </c>
    </row>
    <row r="13" spans="1:9">
      <c r="A13" s="1">
        <v>1012</v>
      </c>
      <c r="B13" s="3">
        <v>45673</v>
      </c>
      <c r="C13" t="s">
        <v>7</v>
      </c>
      <c r="D13" t="s">
        <v>8</v>
      </c>
      <c r="E13" t="s">
        <v>15</v>
      </c>
      <c r="F13">
        <v>2</v>
      </c>
      <c r="G13" s="2">
        <v>12000</v>
      </c>
      <c r="H13" s="2">
        <f>Table24[[#This Row],[Quantity]]*Table24[[#This Row],[UnitPrice]]</f>
        <v>24000</v>
      </c>
      <c r="I13" t="str">
        <f>TEXT(Table24[[#This Row],[Date]],"DD-MMM-YYYY")</f>
        <v>16-Jan-2025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71D0F-C2CA-4630-BE5E-3190953C05F6}">
  <dimension ref="A1:K17"/>
  <sheetViews>
    <sheetView tabSelected="1" workbookViewId="0">
      <selection activeCell="J1" sqref="J1:K1"/>
    </sheetView>
  </sheetViews>
  <sheetFormatPr defaultRowHeight="15"/>
  <cols>
    <col min="1" max="1" width="11.85546875" bestFit="1" customWidth="1"/>
    <col min="2" max="2" width="16.5703125" bestFit="1" customWidth="1"/>
    <col min="3" max="3" width="14.7109375" bestFit="1" customWidth="1"/>
    <col min="4" max="4" width="12" bestFit="1" customWidth="1"/>
    <col min="5" max="5" width="16.5703125" bestFit="1" customWidth="1"/>
    <col min="6" max="6" width="14.7109375" bestFit="1" customWidth="1"/>
    <col min="7" max="7" width="11.5703125" bestFit="1" customWidth="1"/>
    <col min="8" max="8" width="16.5703125" bestFit="1" customWidth="1"/>
    <col min="9" max="9" width="15.7109375" bestFit="1" customWidth="1"/>
    <col min="10" max="10" width="11.42578125" bestFit="1" customWidth="1"/>
    <col min="11" max="11" width="16.5703125" bestFit="1" customWidth="1"/>
  </cols>
  <sheetData>
    <row r="1" spans="1:11">
      <c r="A1" s="5" t="s">
        <v>22</v>
      </c>
      <c r="B1" s="5"/>
      <c r="D1" s="5" t="s">
        <v>23</v>
      </c>
      <c r="E1" s="5"/>
      <c r="G1" s="5" t="s">
        <v>24</v>
      </c>
      <c r="H1" s="5"/>
      <c r="J1" s="5" t="s">
        <v>25</v>
      </c>
      <c r="K1" s="5"/>
    </row>
    <row r="2" spans="1:11">
      <c r="A2" s="4" t="s">
        <v>2</v>
      </c>
      <c r="B2" t="s">
        <v>26</v>
      </c>
      <c r="D2" s="4" t="s">
        <v>3</v>
      </c>
      <c r="E2" t="s">
        <v>26</v>
      </c>
      <c r="G2" s="4" t="s">
        <v>21</v>
      </c>
      <c r="H2" t="s">
        <v>26</v>
      </c>
      <c r="J2" s="4" t="s">
        <v>4</v>
      </c>
      <c r="K2" t="s">
        <v>26</v>
      </c>
    </row>
    <row r="3" spans="1:11">
      <c r="A3" t="s">
        <v>7</v>
      </c>
      <c r="B3" s="2">
        <v>60000</v>
      </c>
      <c r="D3" t="s">
        <v>13</v>
      </c>
      <c r="E3" s="2">
        <v>16000</v>
      </c>
      <c r="G3" t="s">
        <v>27</v>
      </c>
      <c r="H3" s="2">
        <v>24000</v>
      </c>
      <c r="J3" t="s">
        <v>15</v>
      </c>
      <c r="K3" s="2">
        <v>54000</v>
      </c>
    </row>
    <row r="4" spans="1:11">
      <c r="A4" t="s">
        <v>10</v>
      </c>
      <c r="B4" s="2">
        <v>40000</v>
      </c>
      <c r="D4" t="s">
        <v>8</v>
      </c>
      <c r="E4" s="2">
        <v>122000</v>
      </c>
      <c r="G4" t="s">
        <v>28</v>
      </c>
      <c r="H4" s="2">
        <v>24000</v>
      </c>
      <c r="J4" t="s">
        <v>9</v>
      </c>
      <c r="K4" s="2">
        <v>30000</v>
      </c>
    </row>
    <row r="5" spans="1:11">
      <c r="A5" t="s">
        <v>18</v>
      </c>
      <c r="B5" s="2">
        <v>18000</v>
      </c>
      <c r="D5" t="s">
        <v>29</v>
      </c>
      <c r="E5" s="2">
        <v>138000</v>
      </c>
      <c r="G5" t="s">
        <v>30</v>
      </c>
      <c r="H5" s="2">
        <v>7500</v>
      </c>
      <c r="J5" t="s">
        <v>11</v>
      </c>
      <c r="K5" s="2">
        <v>28400</v>
      </c>
    </row>
    <row r="6" spans="1:11">
      <c r="A6" t="s">
        <v>12</v>
      </c>
      <c r="B6" s="2">
        <v>7500</v>
      </c>
      <c r="G6" t="s">
        <v>31</v>
      </c>
      <c r="H6" s="2">
        <v>12000</v>
      </c>
      <c r="J6" t="s">
        <v>14</v>
      </c>
      <c r="K6" s="2">
        <v>25600</v>
      </c>
    </row>
    <row r="7" spans="1:11">
      <c r="A7" t="s">
        <v>16</v>
      </c>
      <c r="B7" s="2">
        <v>5000</v>
      </c>
      <c r="G7" t="s">
        <v>32</v>
      </c>
      <c r="H7" s="2">
        <v>2000</v>
      </c>
      <c r="J7" t="s">
        <v>29</v>
      </c>
      <c r="K7" s="2">
        <v>138000</v>
      </c>
    </row>
    <row r="8" spans="1:11">
      <c r="A8" t="s">
        <v>19</v>
      </c>
      <c r="B8" s="2">
        <v>4000</v>
      </c>
      <c r="G8" t="s">
        <v>33</v>
      </c>
      <c r="H8" s="2">
        <v>1400</v>
      </c>
    </row>
    <row r="9" spans="1:11">
      <c r="A9" t="s">
        <v>17</v>
      </c>
      <c r="B9" s="2">
        <v>3500</v>
      </c>
      <c r="G9" t="s">
        <v>34</v>
      </c>
      <c r="H9" s="2">
        <v>16000</v>
      </c>
    </row>
    <row r="10" spans="1:11">
      <c r="A10" t="s">
        <v>29</v>
      </c>
      <c r="B10" s="2">
        <v>138000</v>
      </c>
      <c r="G10" t="s">
        <v>35</v>
      </c>
      <c r="H10" s="2">
        <v>18000</v>
      </c>
    </row>
    <row r="11" spans="1:11">
      <c r="B11" s="2"/>
      <c r="G11" t="s">
        <v>36</v>
      </c>
      <c r="H11" s="2">
        <v>4000</v>
      </c>
    </row>
    <row r="12" spans="1:11">
      <c r="G12" t="s">
        <v>37</v>
      </c>
      <c r="H12" s="2">
        <v>3000</v>
      </c>
    </row>
    <row r="13" spans="1:11">
      <c r="G13" t="s">
        <v>38</v>
      </c>
      <c r="H13" s="2">
        <v>2100</v>
      </c>
    </row>
    <row r="14" spans="1:11">
      <c r="G14" t="s">
        <v>39</v>
      </c>
      <c r="H14" s="2">
        <v>24000</v>
      </c>
    </row>
    <row r="15" spans="1:11">
      <c r="G15" t="s">
        <v>29</v>
      </c>
      <c r="H15" s="2">
        <v>138000</v>
      </c>
    </row>
    <row r="17" spans="2:2">
      <c r="B17" s="2"/>
    </row>
  </sheetData>
  <mergeCells count="4">
    <mergeCell ref="A1:B1"/>
    <mergeCell ref="D1:E1"/>
    <mergeCell ref="G1:H1"/>
    <mergeCell ref="J1:K1"/>
  </mergeCells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13205-1793-421A-9E71-DEF187CE4CE1}">
  <dimension ref="A1"/>
  <sheetViews>
    <sheetView topLeftCell="A2" workbookViewId="0">
      <selection activeCell="T5" sqref="T5"/>
    </sheetView>
  </sheetViews>
  <sheetFormatPr defaultRowHeight="15"/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2026-04-28T10:37:12Z</dcterms:created>
  <dcterms:modified xsi:type="dcterms:W3CDTF">2026-04-29T08:53:28Z</dcterms:modified>
  <cp:category/>
  <cp:contentStatus/>
</cp:coreProperties>
</file>